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ee Summary" sheetId="1" state="visible" r:id="rId1"/>
    <sheet xmlns:r="http://schemas.openxmlformats.org/officeDocument/2006/relationships" name="W216" sheetId="2" state="visible" r:id="rId2"/>
    <sheet xmlns:r="http://schemas.openxmlformats.org/officeDocument/2006/relationships" name="W240" sheetId="3" state="visible" r:id="rId3"/>
    <sheet xmlns:r="http://schemas.openxmlformats.org/officeDocument/2006/relationships" name="W528" sheetId="4" state="visible" r:id="rId4"/>
    <sheet xmlns:r="http://schemas.openxmlformats.org/officeDocument/2006/relationships" name="W415a" sheetId="5" state="visible" r:id="rId5"/>
  </sheets>
  <definedNames>
    <definedName name="_xlnm._FilterDatabase" localSheetId="1" hidden="1">'W216'!$A$1:$O$1</definedName>
    <definedName name="_xlnm._FilterDatabase" localSheetId="2" hidden="1">'W240'!$A$1:$O$1</definedName>
    <definedName name="_xlnm._FilterDatabase" localSheetId="3" hidden="1">'W528'!$A$1:$P$1</definedName>
    <definedName name="_xlnm._FilterDatabase" localSheetId="4" hidden="1">'W415a'!$A$1:$S$1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port_lint.full.xlsx#W216!D2" TargetMode="External" Id="rId1"/><Relationship Type="http://schemas.openxmlformats.org/officeDocument/2006/relationships/hyperlink" Target="report_lint.full.xlsx#W240!D2" TargetMode="External" Id="rId2"/><Relationship Type="http://schemas.openxmlformats.org/officeDocument/2006/relationships/hyperlink" Target="report_lint.full.xlsx#W528!D2" TargetMode="External" Id="rId3"/><Relationship Type="http://schemas.openxmlformats.org/officeDocument/2006/relationships/hyperlink" Target="report_lint.full.xlsx#W415a!D2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t="inlineStr">
        <is>
          <t>Severity</t>
        </is>
      </c>
      <c r="B1" t="inlineStr">
        <is>
          <t>Stage</t>
        </is>
      </c>
      <c r="C1" t="inlineStr">
        <is>
          <t>Tag</t>
        </is>
      </c>
      <c r="D1" t="inlineStr">
        <is>
          <t>Count</t>
        </is>
      </c>
      <c r="E1" t="inlineStr">
        <is>
          <t>Waived</t>
        </is>
      </c>
      <c r="F1" t="inlineStr">
        <is>
          <t>Compressed</t>
        </is>
      </c>
      <c r="G1" t="inlineStr">
        <is>
          <t>Confirmed</t>
        </is>
      </c>
      <c r="H1" t="inlineStr">
        <is>
          <t>Remaining</t>
        </is>
      </c>
    </row>
    <row r="2">
      <c r="A2" t="inlineStr">
        <is>
          <t>warning</t>
        </is>
      </c>
      <c r="B2" t="inlineStr">
        <is>
          <t>LANGUAGE_CHECK</t>
        </is>
      </c>
      <c r="C2" t="inlineStr">
        <is>
          <t>W216</t>
        </is>
      </c>
      <c r="D2" t="n">
        <v>1</v>
      </c>
      <c r="E2" t="n">
        <v>0</v>
      </c>
      <c r="F2" t="n">
        <v>0</v>
      </c>
      <c r="G2">
        <f>COUNTIF('W216'!D:D, "ok")</f>
        <v/>
      </c>
      <c r="H2">
        <f>D2+F2-G2</f>
        <v/>
      </c>
      <c r="J2" t="inlineStr">
        <is>
          <t xml:space="preserve">top_design: </t>
        </is>
      </c>
      <c r="K2" t="inlineStr">
        <is>
          <t>BOS_AXICRYPT</t>
        </is>
      </c>
    </row>
    <row r="3">
      <c r="A3" t="inlineStr">
        <is>
          <t>warning</t>
        </is>
      </c>
      <c r="B3" t="inlineStr">
        <is>
          <t>LANGUAGE_CHECK</t>
        </is>
      </c>
      <c r="C3" t="inlineStr">
        <is>
          <t>W240</t>
        </is>
      </c>
      <c r="D3" t="n">
        <v>2</v>
      </c>
      <c r="E3" t="n">
        <v>8</v>
      </c>
      <c r="F3" t="n">
        <v>0</v>
      </c>
      <c r="G3">
        <f>COUNTIF('W240'!D:D, "ok")</f>
        <v/>
      </c>
      <c r="H3">
        <f>D3+F3-G3</f>
        <v/>
      </c>
    </row>
    <row r="4">
      <c r="A4" t="inlineStr">
        <is>
          <t>warning</t>
        </is>
      </c>
      <c r="B4" t="inlineStr">
        <is>
          <t>LANGUAGE_CHECK</t>
        </is>
      </c>
      <c r="C4" t="inlineStr">
        <is>
          <t>W528</t>
        </is>
      </c>
      <c r="D4" t="n">
        <v>8</v>
      </c>
      <c r="E4" t="n">
        <v>42</v>
      </c>
      <c r="F4" t="n">
        <v>0</v>
      </c>
      <c r="G4">
        <f>COUNTIF('W528'!D:D, "ok")</f>
        <v/>
      </c>
      <c r="H4">
        <f>D4+F4-G4</f>
        <v/>
      </c>
    </row>
    <row r="5">
      <c r="A5" t="inlineStr">
        <is>
          <t>warning</t>
        </is>
      </c>
      <c r="B5" t="inlineStr">
        <is>
          <t>LINT_FORMAL_CHECK</t>
        </is>
      </c>
      <c r="C5" t="inlineStr">
        <is>
          <t>W415a</t>
        </is>
      </c>
      <c r="D5" t="n">
        <v>1</v>
      </c>
      <c r="E5" t="n">
        <v>20</v>
      </c>
      <c r="F5" t="n">
        <v>0</v>
      </c>
      <c r="G5">
        <f>COUNTIF('W415a'!D:D, "ok")</f>
        <v/>
      </c>
      <c r="H5">
        <f>D5+F5-G5</f>
        <v/>
      </c>
    </row>
    <row r="6">
      <c r="A6" t="inlineStr">
        <is>
          <t>TOTAL</t>
        </is>
      </c>
      <c r="D6">
        <f>SUM(D2:D5)</f>
        <v/>
      </c>
      <c r="E6">
        <f>SUM(E2:E5)</f>
        <v/>
      </c>
      <c r="F6">
        <f>SUM(F2:F5)</f>
        <v/>
      </c>
      <c r="G6">
        <f>SUM(G2:G5)</f>
        <v/>
      </c>
      <c r="H6">
        <f>SUM(H2:H5)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4" customWidth="1" min="3" max="3"/>
    <col width="8" customWidth="1" min="4" max="4"/>
    <col width="7" customWidth="1" min="5" max="5"/>
    <col width="4" customWidth="1" min="6" max="6"/>
    <col width="68" customWidth="1" min="7" max="7"/>
    <col hidden="1" width="9" customWidth="1" min="8" max="8"/>
    <col width="13" customWidth="1" min="9" max="9"/>
    <col width="12" customWidth="1" min="10" max="10"/>
    <col width="90" customWidth="1" min="11" max="11"/>
    <col width="10" customWidth="1" min="12" max="12"/>
    <col width="118" customWidth="1" min="13" max="13"/>
    <col width="12" customWidth="1" min="14" max="14"/>
    <col width="42" customWidth="1" min="15" max="15"/>
  </cols>
  <sheetData>
    <row r="1" ht="13" customHeight="1">
      <c r="A1" s="1" t="inlineStr">
        <is>
          <t>No.</t>
        </is>
      </c>
      <c r="B1" s="1" t="inlineStr">
        <is>
          <t>Person in Charge</t>
        </is>
      </c>
      <c r="C1" s="1" t="inlineStr">
        <is>
          <t>Date</t>
        </is>
      </c>
      <c r="D1" s="1" t="inlineStr">
        <is>
          <t>Judgment</t>
        </is>
      </c>
      <c r="E1" s="1" t="inlineStr">
        <is>
          <t>Comment</t>
        </is>
      </c>
      <c r="F1" s="1" t="inlineStr">
        <is>
          <t>Tag</t>
        </is>
      </c>
      <c r="G1" s="1" t="inlineStr">
        <is>
          <t>Description</t>
        </is>
      </c>
      <c r="H1" s="1" t="inlineStr">
        <is>
          <t>Violation</t>
        </is>
      </c>
      <c r="I1" s="1" t="inlineStr">
        <is>
          <t>Goal</t>
        </is>
      </c>
      <c r="J1" s="1" t="inlineStr">
        <is>
          <t>Module</t>
        </is>
      </c>
      <c r="K1" s="1" t="inlineStr">
        <is>
          <t>FileName</t>
        </is>
      </c>
      <c r="L1" s="1" t="inlineStr">
        <is>
          <t>LineNumber</t>
        </is>
      </c>
      <c r="M1" s="1" t="inlineStr">
        <is>
          <t>Statement</t>
        </is>
      </c>
      <c r="N1" s="1" t="inlineStr">
        <is>
          <t>NodeType</t>
        </is>
      </c>
      <c r="O1" s="1" t="inlineStr">
        <is>
          <t>VariableName</t>
        </is>
      </c>
    </row>
    <row r="2" ht="13" customHeight="1">
      <c r="A2" s="2" t="n">
        <v>1</v>
      </c>
      <c r="B2" s="2" t="n"/>
      <c r="C2" s="2" t="n"/>
      <c r="D2" s="2" t="n"/>
      <c r="E2" s="2" t="n"/>
      <c r="F2" s="2" t="inlineStr">
        <is>
          <t>W216</t>
        </is>
      </c>
      <c r="G2" s="2" t="inlineStr">
        <is>
          <t>Inappropriate range select for [NodeType] variable: "[VariableName]"</t>
        </is>
      </c>
      <c r="H2" s="2" t="inlineStr">
        <is>
          <t>Lint:783</t>
        </is>
      </c>
      <c r="I2" s="2" t="inlineStr">
        <is>
          <t>BOS_LINT_RULE</t>
        </is>
      </c>
      <c r="J2" s="2" t="inlineStr">
        <is>
          <t>AXICRYPT_SFR</t>
        </is>
      </c>
      <c r="K2" s="2" t="inlineStr">
        <is>
          <t>/storage/project/atlas/design/user/pnson/ATLAS_WORKING/IP/AXICRYPT/RTL/CTRL/AXICRYPT_SFR.v</t>
        </is>
      </c>
      <c r="L2" s="2" t="inlineStr">
        <is>
          <t>1041</t>
        </is>
      </c>
      <c r="M2" s="2" t="inlineStr">
        <is>
          <t>r_addr_remap_sel[i_addr_remap*ADDR_REMAP_SEL_WIDTH +: ADDR_REMAP_SEL_WIDTH] &lt;= i_addr_remap[ADDR_REMAP_SEL_WIDTH-1:0];</t>
        </is>
      </c>
      <c r="N2" s="2" t="inlineStr">
        <is>
          <t>int_part_sel</t>
        </is>
      </c>
      <c r="O2" s="2" t="inlineStr">
        <is>
          <t xml:space="preserve">i_addr_remap[(ADDR_REMAP_SEL_WIDTH - 1):0] </t>
        </is>
      </c>
    </row>
  </sheetData>
  <autoFilter ref="A1:O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xSplit="5" ySplit="1" topLeftCell="F2" activePane="bottomRight" state="frozen"/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4" customWidth="1" min="3" max="3"/>
    <col width="8" customWidth="1" min="4" max="4"/>
    <col width="7" customWidth="1" min="5" max="5"/>
    <col width="4" customWidth="1" min="6" max="6"/>
    <col width="69" customWidth="1" min="7" max="7"/>
    <col hidden="1" width="9" customWidth="1" min="8" max="8"/>
    <col width="13" customWidth="1" min="9" max="9"/>
    <col width="19" customWidth="1" min="10" max="10"/>
    <col width="180" customWidth="1" min="11" max="11"/>
    <col width="10" customWidth="1" min="12" max="12"/>
    <col width="91" customWidth="1" min="13" max="13"/>
    <col width="28" customWidth="1" min="14" max="14"/>
    <col width="149" customWidth="1" min="15" max="15"/>
  </cols>
  <sheetData>
    <row r="1" ht="13" customHeight="1">
      <c r="A1" s="1" t="inlineStr">
        <is>
          <t>No.</t>
        </is>
      </c>
      <c r="B1" s="1" t="inlineStr">
        <is>
          <t>Person in Charge</t>
        </is>
      </c>
      <c r="C1" s="1" t="inlineStr">
        <is>
          <t>Date</t>
        </is>
      </c>
      <c r="D1" s="1" t="inlineStr">
        <is>
          <t>Judgment</t>
        </is>
      </c>
      <c r="E1" s="1" t="inlineStr">
        <is>
          <t>Comment</t>
        </is>
      </c>
      <c r="F1" s="1" t="inlineStr">
        <is>
          <t>Tag</t>
        </is>
      </c>
      <c r="G1" s="1" t="inlineStr">
        <is>
          <t>Description</t>
        </is>
      </c>
      <c r="H1" s="1" t="inlineStr">
        <is>
          <t>Violation</t>
        </is>
      </c>
      <c r="I1" s="1" t="inlineStr">
        <is>
          <t>Goal</t>
        </is>
      </c>
      <c r="J1" s="1" t="inlineStr">
        <is>
          <t>Module</t>
        </is>
      </c>
      <c r="K1" s="1" t="inlineStr">
        <is>
          <t>FileName</t>
        </is>
      </c>
      <c r="L1" s="1" t="inlineStr">
        <is>
          <t>LineNumber</t>
        </is>
      </c>
      <c r="M1" s="1" t="inlineStr">
        <is>
          <t>Statement</t>
        </is>
      </c>
      <c r="N1" s="1" t="inlineStr">
        <is>
          <t>Signal</t>
        </is>
      </c>
      <c r="O1" s="1" t="inlineStr">
        <is>
          <t>HIERARCHY</t>
        </is>
      </c>
    </row>
    <row r="2" ht="13" customHeight="1">
      <c r="A2" s="2" t="n">
        <v>1</v>
      </c>
      <c r="B2" s="2" t="n"/>
      <c r="C2" s="2" t="n"/>
      <c r="D2" s="2" t="n"/>
      <c r="E2" s="2" t="n"/>
      <c r="F2" s="2" t="inlineStr">
        <is>
          <t>W240</t>
        </is>
      </c>
      <c r="G2" s="2" t="inlineStr">
        <is>
          <t>Input '[Signal]' declared but not read.[Hierarchy: '[HIERARCHY]']</t>
        </is>
      </c>
      <c r="H2" s="2" t="inlineStr">
        <is>
          <t>Lint:782</t>
        </is>
      </c>
      <c r="I2" s="2" t="inlineStr">
        <is>
          <t>BOS_LINT_RULE</t>
        </is>
      </c>
      <c r="J2" s="2" t="inlineStr">
        <is>
          <t>AXICRYPT_REGION_CHK</t>
        </is>
      </c>
      <c r="K2" s="2" t="inlineStr">
        <is>
          <t>/storage/project/atlas/design/user/pnson/ATLAS_WORKING/IP/AXICRYPT/RTL/CTRL/AXICRYPT_REGION_CHK.v</t>
        </is>
      </c>
      <c r="L2" s="2" t="inlineStr">
        <is>
          <t>19</t>
        </is>
      </c>
      <c r="M2" s="2" t="inlineStr">
        <is>
          <t>input  [ADDR_WIDTH-1:0] I_ADDR          ,</t>
        </is>
      </c>
      <c r="N2" s="2" t="inlineStr">
        <is>
          <t>I_ADDR[34]</t>
        </is>
      </c>
      <c r="O2" s="2" t="inlineStr">
        <is>
          <t>:BOS_AXICRYPT:u_axicrypt_top@AXICRYPT_TOP_DCLS:u_axicrypt_top@AXICRYPT_TOP:u_axicrypt_ctrl@AXICRYPT_CTRL:u_axicrypt_region_chk_ar@AXICRYPT_REGION_CHK</t>
        </is>
      </c>
    </row>
    <row r="3" ht="13" customHeight="1">
      <c r="A3" s="2" t="n">
        <v>2</v>
      </c>
      <c r="B3" s="2" t="n"/>
      <c r="C3" s="2" t="n"/>
      <c r="D3" s="2" t="n"/>
      <c r="E3" s="2" t="n"/>
      <c r="F3" s="2" t="inlineStr">
        <is>
          <t>W240</t>
        </is>
      </c>
      <c r="G3" s="2" t="inlineStr">
        <is>
          <t>Input '[Signal]' declared but not read.[Hierarchy: '[HIERARCHY]']</t>
        </is>
      </c>
      <c r="H3" s="2" t="inlineStr">
        <is>
          <t>Lint:785</t>
        </is>
      </c>
      <c r="I3" s="2" t="inlineStr">
        <is>
          <t>BOS_LINT_RULE</t>
        </is>
      </c>
      <c r="J3" s="2" t="inlineStr">
        <is>
          <t>AXICRYPT_ADDRREMAP</t>
        </is>
      </c>
      <c r="K3" s="2" t="inlineStr">
        <is>
          <t>/storage/project/atlas/design/user/pnson/ATLAS_WORKING/IP/AXICRYPT/RTL/COMMON/AXICRYPT_ADDRREMAP.v</t>
        </is>
      </c>
      <c r="L3" s="2" t="inlineStr">
        <is>
          <t>8</t>
        </is>
      </c>
      <c r="M3" s="2" t="inlineStr">
        <is>
          <t>input  wire [ADDR_WIDTH*ADDR_SEL_WIDTH-1:0] I_SEL,</t>
        </is>
      </c>
      <c r="N3" s="2" t="inlineStr">
        <is>
          <t>I_SEL[271:270, 263:262, ...]</t>
        </is>
      </c>
      <c r="O3" s="2" t="inlineStr">
        <is>
          <t>:BOS_AXICRYPT:u_axicrypt_top@AXICRYPT_TOP_DCLS:u_axicrypt_top@AXICRYPT_TOP:u_axicrypt_awaddr_remap@AXICRYPT_ADDRREMAP</t>
        </is>
      </c>
    </row>
    <row r="4" ht="13" customHeight="1">
      <c r="A4" s="2" t="n">
        <v>3</v>
      </c>
      <c r="B4" s="2" t="n"/>
      <c r="C4" s="2" t="n"/>
      <c r="D4" s="2" t="n"/>
      <c r="E4" s="2" t="n"/>
      <c r="F4" s="2" t="inlineStr">
        <is>
          <t>W240</t>
        </is>
      </c>
      <c r="G4" s="2" t="inlineStr">
        <is>
          <t>Please refer to 'SignalUsageReport.rpt' for details of violating bits</t>
        </is>
      </c>
      <c r="H4" s="2" t="inlineStr">
        <is>
          <t>Lint:749</t>
        </is>
      </c>
      <c r="I4" s="2" t="inlineStr">
        <is>
          <t>BOS_LINT_RULE</t>
        </is>
      </c>
      <c r="J4" s="2" t="inlineStr">
        <is>
          <t>BOS_AXICRYPT</t>
        </is>
      </c>
      <c r="K4" s="2" t="inlineStr">
        <is>
          <t>/storage/project/atlas/design/user/pnson/ATLAS_WORKING/IP/AXICRYPT/LINT/FUNC/vcst_rtdb/.internal/spyglass/vc_lint0/BOS_AXICRYPT/VC_GOAL0/spyglass_reports/lint/SignalUsageReport.rpt</t>
        </is>
      </c>
      <c r="L4" s="2" t="inlineStr">
        <is>
          <t>1</t>
        </is>
      </c>
      <c r="M4" s="2" t="inlineStr">
        <is>
          <t>#     Comment          : SignalUsageReport : It dumps details of violating bits of a signal</t>
        </is>
      </c>
      <c r="N4" s="2" t="n"/>
      <c r="O4" s="2" t="n"/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5" ySplit="1" topLeftCell="F2" activePane="bottomRight" state="frozen"/>
      <selection pane="topRight"/>
      <selection pane="bottomLeft"/>
      <selection pane="bottomRight"/>
      <selection pane="bottomLeft"/>
      <selection pane="bottomRight"/>
      <selection pane="bottomLeft"/>
      <selection pane="bottomRight"/>
      <selection pane="bottomLeft"/>
      <selection pane="bottomRight"/>
      <selection pane="bottomLeft"/>
      <selection pane="bottomRight"/>
      <selection pane="bottomLeft"/>
      <selection pane="bottom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4" customWidth="1" min="3" max="3"/>
    <col width="8" customWidth="1" min="4" max="4"/>
    <col width="7" customWidth="1" min="5" max="5"/>
    <col width="4" customWidth="1" min="6" max="6"/>
    <col width="79" customWidth="1" min="7" max="7"/>
    <col hidden="1" width="9" customWidth="1" min="8" max="8"/>
    <col width="13" customWidth="1" min="9" max="9"/>
    <col width="12" customWidth="1" min="10" max="10"/>
    <col width="180" customWidth="1" min="11" max="11"/>
    <col width="10" customWidth="1" min="12" max="12"/>
    <col width="91" customWidth="1" min="13" max="13"/>
    <col width="16" customWidth="1" min="14" max="14"/>
    <col width="8" customWidth="1" min="15" max="15"/>
    <col width="102" customWidth="1" min="16" max="16"/>
  </cols>
  <sheetData>
    <row r="1" ht="13" customHeight="1">
      <c r="A1" s="1" t="inlineStr">
        <is>
          <t>No.</t>
        </is>
      </c>
      <c r="B1" s="1" t="inlineStr">
        <is>
          <t>Person in Charge</t>
        </is>
      </c>
      <c r="C1" s="1" t="inlineStr">
        <is>
          <t>Date</t>
        </is>
      </c>
      <c r="D1" s="1" t="inlineStr">
        <is>
          <t>Judgment</t>
        </is>
      </c>
      <c r="E1" s="1" t="inlineStr">
        <is>
          <t>Comment</t>
        </is>
      </c>
      <c r="F1" s="1" t="inlineStr">
        <is>
          <t>Tag</t>
        </is>
      </c>
      <c r="G1" s="1" t="inlineStr">
        <is>
          <t>Description</t>
        </is>
      </c>
      <c r="H1" s="1" t="inlineStr">
        <is>
          <t>Violation</t>
        </is>
      </c>
      <c r="I1" s="1" t="inlineStr">
        <is>
          <t>Goal</t>
        </is>
      </c>
      <c r="J1" s="1" t="inlineStr">
        <is>
          <t>Module</t>
        </is>
      </c>
      <c r="K1" s="1" t="inlineStr">
        <is>
          <t>FileName</t>
        </is>
      </c>
      <c r="L1" s="1" t="inlineStr">
        <is>
          <t>LineNumber</t>
        </is>
      </c>
      <c r="M1" s="1" t="inlineStr">
        <is>
          <t>Statement</t>
        </is>
      </c>
      <c r="N1" s="1" t="inlineStr">
        <is>
          <t>VariableName</t>
        </is>
      </c>
      <c r="O1" s="1" t="inlineStr">
        <is>
          <t>ExprSize</t>
        </is>
      </c>
      <c r="P1" s="1" t="inlineStr">
        <is>
          <t>HIERARCHY</t>
        </is>
      </c>
    </row>
    <row r="2" ht="13" customHeight="1">
      <c r="A2" s="2" t="n">
        <v>1</v>
      </c>
      <c r="B2" s="2" t="n"/>
      <c r="C2" s="2" t="n"/>
      <c r="D2" s="2" t="n"/>
      <c r="E2" s="2" t="n"/>
      <c r="F2" s="2" t="inlineStr">
        <is>
          <t>W528</t>
        </is>
      </c>
      <c r="G2" s="2" t="inlineStr">
        <is>
          <t>Variable '[VariableName]'[ExprSize] set but not read.[Hierarchy: '[HIERARCHY]']</t>
        </is>
      </c>
      <c r="H2" s="2" t="inlineStr">
        <is>
          <t>Lint:774</t>
        </is>
      </c>
      <c r="I2" s="2" t="inlineStr">
        <is>
          <t>BOS_LINT_RULE</t>
        </is>
      </c>
      <c r="J2" s="2" t="inlineStr">
        <is>
          <t>BOS_ISO_RS</t>
        </is>
      </c>
      <c r="K2" s="2" t="inlineStr">
        <is>
          <t>/storage/project/atlas/design/user/pnson/ATLAS_WORKING/IP/BOS_LIB/RTL/BUS/AXIMUX/BOS_ISO_RS.sv</t>
        </is>
      </c>
      <c r="L2" s="2" t="inlineStr">
        <is>
          <t>108</t>
        </is>
      </c>
      <c r="M2" s="2" t="inlineStr">
        <is>
          <t xml:space="preserve">assign O_FULL_CNT = r_full_cnt;      //@TL: to fix lint warning </t>
        </is>
      </c>
      <c r="N2" s="2" t="inlineStr">
        <is>
          <t>O_FULL_CNT[1:0]</t>
        </is>
      </c>
      <c r="O2" s="2" t="inlineStr"/>
      <c r="P2" s="2" t="inlineStr">
        <is>
          <t>:BOS_AXICRYPT:u_axicrypt_top@AXICRYPT_TOP_DCLS:u_axicrypt_top@AXICRYPT_TOP:u_pipe_ar_master@BOS_ISO_RS</t>
        </is>
      </c>
    </row>
    <row r="3" ht="13" customHeight="1">
      <c r="A3" s="2" t="n">
        <v>2</v>
      </c>
      <c r="B3" s="2" t="n"/>
      <c r="C3" s="2" t="n"/>
      <c r="D3" s="2" t="n"/>
      <c r="E3" s="2" t="n"/>
      <c r="F3" s="2" t="inlineStr">
        <is>
          <t>W528</t>
        </is>
      </c>
      <c r="G3" s="2" t="inlineStr">
        <is>
          <t>Variable '[VariableName]'[ExprSize] set but not read.[Hierarchy: '[HIERARCHY]']</t>
        </is>
      </c>
      <c r="H3" s="2" t="inlineStr">
        <is>
          <t>Lint:775</t>
        </is>
      </c>
      <c r="I3" s="2" t="inlineStr">
        <is>
          <t>BOS_LINT_RULE</t>
        </is>
      </c>
      <c r="J3" s="2" t="inlineStr">
        <is>
          <t>BOS_ISO_RS</t>
        </is>
      </c>
      <c r="K3" s="2" t="inlineStr">
        <is>
          <t>/storage/project/atlas/design/user/pnson/ATLAS_WORKING/IP/BOS_LIB/RTL/BUS/AXIMUX/BOS_ISO_RS.sv</t>
        </is>
      </c>
      <c r="L3" s="2" t="inlineStr">
        <is>
          <t>92</t>
        </is>
      </c>
      <c r="M3" s="2" t="inlineStr">
        <is>
          <t xml:space="preserve">assign O_EMPTY_CNT = r_empty_cnt; </t>
        </is>
      </c>
      <c r="N3" s="2" t="inlineStr">
        <is>
          <t>O_EMPTY_CNT[1:0]</t>
        </is>
      </c>
      <c r="O3" s="2" t="inlineStr"/>
      <c r="P3" s="2" t="inlineStr">
        <is>
          <t>:BOS_AXICRYPT:u_axicrypt_top@AXICRYPT_TOP_DCLS:u_axicrypt_top@AXICRYPT_TOP:u_pipe_ar_master@BOS_ISO_RS</t>
        </is>
      </c>
    </row>
    <row r="4" ht="13" customHeight="1">
      <c r="A4" s="2" t="n">
        <v>3</v>
      </c>
      <c r="B4" s="2" t="n"/>
      <c r="C4" s="2" t="n"/>
      <c r="D4" s="2" t="n"/>
      <c r="E4" s="2" t="n"/>
      <c r="F4" s="2" t="inlineStr">
        <is>
          <t>W528</t>
        </is>
      </c>
      <c r="G4" s="2" t="inlineStr">
        <is>
          <t>Variable '[VariableName]'[ExprSize] set but not read.[Hierarchy: '[HIERARCHY]']</t>
        </is>
      </c>
      <c r="H4" s="2" t="inlineStr">
        <is>
          <t>Lint:776</t>
        </is>
      </c>
      <c r="I4" s="2" t="inlineStr">
        <is>
          <t>BOS_LINT_RULE</t>
        </is>
      </c>
      <c r="J4" s="2" t="inlineStr">
        <is>
          <t>BOS_ISO_RS</t>
        </is>
      </c>
      <c r="K4" s="2" t="inlineStr">
        <is>
          <t>/storage/project/atlas/design/user/pnson/ATLAS_WORKING/IP/BOS_LIB/RTL/BUS/AXIMUX/BOS_ISO_RS.sv</t>
        </is>
      </c>
      <c r="L4" s="2" t="inlineStr">
        <is>
          <t>108</t>
        </is>
      </c>
      <c r="M4" s="2" t="inlineStr">
        <is>
          <t xml:space="preserve">assign O_FULL_CNT = r_full_cnt;      //@TL: to fix lint warning </t>
        </is>
      </c>
      <c r="N4" s="2" t="inlineStr">
        <is>
          <t>O_FULL_CNT[1:0]</t>
        </is>
      </c>
      <c r="O4" s="2" t="inlineStr"/>
      <c r="P4" s="2" t="inlineStr">
        <is>
          <t>:BOS_AXICRYPT:u_axicrypt_top@AXICRYPT_TOP_DCLS:u_axicrypt_top@AXICRYPT_TOP:u_pipe_r_master@BOS_ISO_RS</t>
        </is>
      </c>
    </row>
    <row r="5" ht="13" customHeight="1">
      <c r="A5" s="2" t="n">
        <v>4</v>
      </c>
      <c r="B5" s="2" t="n"/>
      <c r="C5" s="2" t="n"/>
      <c r="D5" s="2" t="n"/>
      <c r="E5" s="2" t="n"/>
      <c r="F5" s="2" t="inlineStr">
        <is>
          <t>W528</t>
        </is>
      </c>
      <c r="G5" s="2" t="inlineStr">
        <is>
          <t>Variable '[VariableName]'[ExprSize] set but not read.[Hierarchy: '[HIERARCHY]']</t>
        </is>
      </c>
      <c r="H5" s="2" t="inlineStr">
        <is>
          <t>Lint:777</t>
        </is>
      </c>
      <c r="I5" s="2" t="inlineStr">
        <is>
          <t>BOS_LINT_RULE</t>
        </is>
      </c>
      <c r="J5" s="2" t="inlineStr">
        <is>
          <t>BOS_ISO_RS</t>
        </is>
      </c>
      <c r="K5" s="2" t="inlineStr">
        <is>
          <t>/storage/project/atlas/design/user/pnson/ATLAS_WORKING/IP/BOS_LIB/RTL/BUS/AXIMUX/BOS_ISO_RS.sv</t>
        </is>
      </c>
      <c r="L5" s="2" t="inlineStr">
        <is>
          <t>92</t>
        </is>
      </c>
      <c r="M5" s="2" t="inlineStr">
        <is>
          <t xml:space="preserve">assign O_EMPTY_CNT = r_empty_cnt; </t>
        </is>
      </c>
      <c r="N5" s="2" t="inlineStr">
        <is>
          <t>O_EMPTY_CNT[1:0]</t>
        </is>
      </c>
      <c r="O5" s="2" t="inlineStr"/>
      <c r="P5" s="2" t="inlineStr">
        <is>
          <t>:BOS_AXICRYPT:u_axicrypt_top@AXICRYPT_TOP_DCLS:u_axicrypt_top@AXICRYPT_TOP:u_pipe_r_master@BOS_ISO_RS</t>
        </is>
      </c>
    </row>
    <row r="6" ht="13" customHeight="1">
      <c r="A6" s="2" t="n">
        <v>5</v>
      </c>
      <c r="B6" s="2" t="n"/>
      <c r="C6" s="2" t="n"/>
      <c r="D6" s="2" t="n"/>
      <c r="E6" s="2" t="n"/>
      <c r="F6" s="2" t="inlineStr">
        <is>
          <t>W528</t>
        </is>
      </c>
      <c r="G6" s="2" t="inlineStr">
        <is>
          <t>Variable '[VariableName]'[ExprSize] set but not read.[Hierarchy: '[HIERARCHY]']</t>
        </is>
      </c>
      <c r="H6" s="2" t="inlineStr">
        <is>
          <t>Lint:778</t>
        </is>
      </c>
      <c r="I6" s="2" t="inlineStr">
        <is>
          <t>BOS_LINT_RULE</t>
        </is>
      </c>
      <c r="J6" s="2" t="inlineStr">
        <is>
          <t>BOS_ISO_RS</t>
        </is>
      </c>
      <c r="K6" s="2" t="inlineStr">
        <is>
          <t>/storage/project/atlas/design/user/pnson/ATLAS_WORKING/IP/BOS_LIB/RTL/BUS/AXIMUX/BOS_ISO_RS.sv</t>
        </is>
      </c>
      <c r="L6" s="2" t="inlineStr">
        <is>
          <t>108</t>
        </is>
      </c>
      <c r="M6" s="2" t="inlineStr">
        <is>
          <t xml:space="preserve">assign O_FULL_CNT = r_full_cnt;      //@TL: to fix lint warning </t>
        </is>
      </c>
      <c r="N6" s="2" t="inlineStr">
        <is>
          <t>O_FULL_CNT[1:0]</t>
        </is>
      </c>
      <c r="O6" s="2" t="inlineStr"/>
      <c r="P6" s="2" t="inlineStr">
        <is>
          <t>:BOS_AXICRYPT:u_axicrypt_top@AXICRYPT_TOP_DCLS:u_axicrypt_top@AXICRYPT_TOP:u_pipe_b_master@BOS_ISO_RS</t>
        </is>
      </c>
    </row>
    <row r="7" ht="13" customHeight="1">
      <c r="A7" s="2" t="n">
        <v>6</v>
      </c>
      <c r="B7" s="2" t="n"/>
      <c r="C7" s="2" t="n"/>
      <c r="D7" s="2" t="n"/>
      <c r="E7" s="2" t="n"/>
      <c r="F7" s="2" t="inlineStr">
        <is>
          <t>W528</t>
        </is>
      </c>
      <c r="G7" s="2" t="inlineStr">
        <is>
          <t>Variable '[VariableName]'[ExprSize] set but not read.[Hierarchy: '[HIERARCHY]']</t>
        </is>
      </c>
      <c r="H7" s="2" t="inlineStr">
        <is>
          <t>Lint:779</t>
        </is>
      </c>
      <c r="I7" s="2" t="inlineStr">
        <is>
          <t>BOS_LINT_RULE</t>
        </is>
      </c>
      <c r="J7" s="2" t="inlineStr">
        <is>
          <t>BOS_ISO_RS</t>
        </is>
      </c>
      <c r="K7" s="2" t="inlineStr">
        <is>
          <t>/storage/project/atlas/design/user/pnson/ATLAS_WORKING/IP/BOS_LIB/RTL/BUS/AXIMUX/BOS_ISO_RS.sv</t>
        </is>
      </c>
      <c r="L7" s="2" t="inlineStr">
        <is>
          <t>92</t>
        </is>
      </c>
      <c r="M7" s="2" t="inlineStr">
        <is>
          <t xml:space="preserve">assign O_EMPTY_CNT = r_empty_cnt; </t>
        </is>
      </c>
      <c r="N7" s="2" t="inlineStr">
        <is>
          <t>O_EMPTY_CNT[1:0]</t>
        </is>
      </c>
      <c r="O7" s="2" t="inlineStr"/>
      <c r="P7" s="2" t="inlineStr">
        <is>
          <t>:BOS_AXICRYPT:u_axicrypt_top@AXICRYPT_TOP_DCLS:u_axicrypt_top@AXICRYPT_TOP:u_pipe_b_master@BOS_ISO_RS</t>
        </is>
      </c>
    </row>
    <row r="8" ht="13" customHeight="1">
      <c r="A8" s="2" t="n">
        <v>7</v>
      </c>
      <c r="B8" s="2" t="n"/>
      <c r="C8" s="2" t="n"/>
      <c r="D8" s="2" t="n"/>
      <c r="E8" s="2" t="n"/>
      <c r="F8" s="2" t="inlineStr">
        <is>
          <t>W528</t>
        </is>
      </c>
      <c r="G8" s="2" t="inlineStr">
        <is>
          <t>Variable '[VariableName]'[ExprSize] set but not read.[Hierarchy: '[HIERARCHY]']</t>
        </is>
      </c>
      <c r="H8" s="2" t="inlineStr">
        <is>
          <t>Lint:780</t>
        </is>
      </c>
      <c r="I8" s="2" t="inlineStr">
        <is>
          <t>BOS_LINT_RULE</t>
        </is>
      </c>
      <c r="J8" s="2" t="inlineStr">
        <is>
          <t>BOS_ISO_RS</t>
        </is>
      </c>
      <c r="K8" s="2" t="inlineStr">
        <is>
          <t>/storage/project/atlas/design/user/pnson/ATLAS_WORKING/IP/BOS_LIB/RTL/BUS/AXIMUX/BOS_ISO_RS.sv</t>
        </is>
      </c>
      <c r="L8" s="2" t="inlineStr">
        <is>
          <t>108</t>
        </is>
      </c>
      <c r="M8" s="2" t="inlineStr">
        <is>
          <t xml:space="preserve">assign O_FULL_CNT = r_full_cnt;      //@TL: to fix lint warning </t>
        </is>
      </c>
      <c r="N8" s="2" t="inlineStr">
        <is>
          <t>O_FULL_CNT[1:0]</t>
        </is>
      </c>
      <c r="O8" s="2" t="inlineStr"/>
      <c r="P8" s="2" t="inlineStr">
        <is>
          <t>:BOS_AXICRYPT:u_axicrypt_top@AXICRYPT_TOP_DCLS:u_axicrypt_top@AXICRYPT_TOP:u_pipe_w_master@BOS_ISO_RS</t>
        </is>
      </c>
    </row>
    <row r="9" ht="13" customHeight="1">
      <c r="A9" s="2" t="n">
        <v>8</v>
      </c>
      <c r="B9" s="2" t="n"/>
      <c r="C9" s="2" t="n"/>
      <c r="D9" s="2" t="n"/>
      <c r="E9" s="2" t="n"/>
      <c r="F9" s="2" t="inlineStr">
        <is>
          <t>W528</t>
        </is>
      </c>
      <c r="G9" s="2" t="inlineStr">
        <is>
          <t>Variable '[VariableName]'[ExprSize] set but not read.[Hierarchy: '[HIERARCHY]']</t>
        </is>
      </c>
      <c r="H9" s="2" t="inlineStr">
        <is>
          <t>Lint:781</t>
        </is>
      </c>
      <c r="I9" s="2" t="inlineStr">
        <is>
          <t>BOS_LINT_RULE</t>
        </is>
      </c>
      <c r="J9" s="2" t="inlineStr">
        <is>
          <t>BOS_ISO_RS</t>
        </is>
      </c>
      <c r="K9" s="2" t="inlineStr">
        <is>
          <t>/storage/project/atlas/design/user/pnson/ATLAS_WORKING/IP/BOS_LIB/RTL/BUS/AXIMUX/BOS_ISO_RS.sv</t>
        </is>
      </c>
      <c r="L9" s="2" t="inlineStr">
        <is>
          <t>92</t>
        </is>
      </c>
      <c r="M9" s="2" t="inlineStr">
        <is>
          <t xml:space="preserve">assign O_EMPTY_CNT = r_empty_cnt; </t>
        </is>
      </c>
      <c r="N9" s="2" t="inlineStr">
        <is>
          <t>O_EMPTY_CNT[1:0]</t>
        </is>
      </c>
      <c r="O9" s="2" t="inlineStr"/>
      <c r="P9" s="2" t="inlineStr">
        <is>
          <t>:BOS_AXICRYPT:u_axicrypt_top@AXICRYPT_TOP_DCLS:u_axicrypt_top@AXICRYPT_TOP:u_pipe_w_master@BOS_ISO_RS</t>
        </is>
      </c>
    </row>
    <row r="10" ht="13" customHeight="1">
      <c r="A10" s="2" t="n">
        <v>9</v>
      </c>
      <c r="B10" s="2" t="n"/>
      <c r="C10" s="2" t="n"/>
      <c r="D10" s="2" t="n"/>
      <c r="E10" s="2" t="n"/>
      <c r="F10" s="2" t="inlineStr">
        <is>
          <t>W528</t>
        </is>
      </c>
      <c r="G10" s="2" t="inlineStr">
        <is>
          <t>Please refer to 'SignalUsageReport.rpt' for details of violating bits</t>
        </is>
      </c>
      <c r="H10" s="2" t="inlineStr">
        <is>
          <t>Lint:764</t>
        </is>
      </c>
      <c r="I10" s="2" t="inlineStr">
        <is>
          <t>BOS_LINT_RULE</t>
        </is>
      </c>
      <c r="J10" s="2" t="inlineStr">
        <is>
          <t>BOS_AXICRYPT</t>
        </is>
      </c>
      <c r="K10" s="2" t="inlineStr">
        <is>
          <t>/storage/project/atlas/design/user/pnson/ATLAS_WORKING/IP/AXICRYPT/LINT/FUNC/vcst_rtdb/.internal/spyglass/vc_lint0/BOS_AXICRYPT/VC_GOAL0/spyglass_reports/lint/SignalUsageReport.rpt</t>
        </is>
      </c>
      <c r="L10" s="2" t="inlineStr">
        <is>
          <t>1</t>
        </is>
      </c>
      <c r="M10" s="2" t="inlineStr">
        <is>
          <t>#     Comment          : SignalUsageReport : It dumps details of violating bits of a signal</t>
        </is>
      </c>
      <c r="N10" s="2" t="n"/>
      <c r="O10" s="2" t="n"/>
      <c r="P10" s="2" t="n"/>
    </row>
  </sheetData>
  <autoFilter ref="A1:P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4" customWidth="1" min="3" max="3"/>
    <col width="8" customWidth="1" min="4" max="4"/>
    <col width="7" customWidth="1" min="5" max="5"/>
    <col width="5" customWidth="1" min="6" max="6"/>
    <col width="148" customWidth="1" min="7" max="7"/>
    <col hidden="1" width="9" customWidth="1" min="8" max="8"/>
    <col width="13" customWidth="1" min="9" max="9"/>
    <col width="18" customWidth="1" min="10" max="10"/>
    <col width="98" customWidth="1" min="11" max="11"/>
    <col width="10" customWidth="1" min="12" max="12"/>
    <col width="61" customWidth="1" min="13" max="13"/>
    <col width="12" customWidth="1" min="14" max="14"/>
    <col width="17" customWidth="1" min="15" max="15"/>
    <col width="117" customWidth="1" min="16" max="16"/>
    <col width="61" customWidth="1" min="17" max="17"/>
    <col width="98" customWidth="1" min="18" max="18"/>
    <col width="27" customWidth="1" min="19" max="19"/>
  </cols>
  <sheetData>
    <row r="1" ht="13" customHeight="1">
      <c r="A1" s="1" t="inlineStr">
        <is>
          <t>No.</t>
        </is>
      </c>
      <c r="B1" s="1" t="inlineStr">
        <is>
          <t>Person in Charge</t>
        </is>
      </c>
      <c r="C1" s="1" t="inlineStr">
        <is>
          <t>Date</t>
        </is>
      </c>
      <c r="D1" s="1" t="inlineStr">
        <is>
          <t>Judgment</t>
        </is>
      </c>
      <c r="E1" s="1" t="inlineStr">
        <is>
          <t>Comment</t>
        </is>
      </c>
      <c r="F1" s="1" t="inlineStr">
        <is>
          <t>Tag</t>
        </is>
      </c>
      <c r="G1" s="1" t="inlineStr">
        <is>
          <t>Description</t>
        </is>
      </c>
      <c r="H1" s="1" t="inlineStr">
        <is>
          <t>Violation</t>
        </is>
      </c>
      <c r="I1" s="1" t="inlineStr">
        <is>
          <t>Goal</t>
        </is>
      </c>
      <c r="J1" s="1" t="inlineStr">
        <is>
          <t>Module</t>
        </is>
      </c>
      <c r="K1" s="1" t="inlineStr">
        <is>
          <t>FileName</t>
        </is>
      </c>
      <c r="L1" s="1" t="inlineStr">
        <is>
          <t>LineNumber</t>
        </is>
      </c>
      <c r="M1" s="1" t="inlineStr">
        <is>
          <t>Statement</t>
        </is>
      </c>
      <c r="N1" s="1" t="inlineStr">
        <is>
          <t>Signal</t>
        </is>
      </c>
      <c r="O1" s="1" t="inlineStr">
        <is>
          <t>CulpritLineNumber</t>
        </is>
      </c>
      <c r="P1" s="1" t="inlineStr">
        <is>
          <t>HIERARCHY</t>
        </is>
      </c>
      <c r="Q1" s="1" t="inlineStr">
        <is>
          <t>MultiLine:SgStmt:HDL_STATEMENT</t>
        </is>
      </c>
      <c r="R1" s="1" t="inlineStr">
        <is>
          <t>MultiLine:SgStmt:FileName</t>
        </is>
      </c>
      <c r="S1" s="1" t="inlineStr">
        <is>
          <t>MultiLine:SgStmt:LineNumber</t>
        </is>
      </c>
    </row>
    <row r="2" ht="26" customHeight="1">
      <c r="A2" s="2" t="n">
        <v>1</v>
      </c>
      <c r="B2" s="2" t="n"/>
      <c r="C2" s="2" t="n"/>
      <c r="D2" s="2" t="n"/>
      <c r="E2" s="2" t="n"/>
      <c r="F2" s="2" t="inlineStr">
        <is>
          <t>W415a</t>
        </is>
      </c>
      <c r="G2" s="2" t="inlineStr">
        <is>
          <t>Signal [Signal] is being assigned multiple times ( previous assignment at line [CulpritLineNumber] ) in same always block [Hierarchy: '[HIERARCHY]']</t>
        </is>
      </c>
      <c r="H2" s="2" t="inlineStr">
        <is>
          <t>Lint:714</t>
        </is>
      </c>
      <c r="I2" s="2" t="inlineStr">
        <is>
          <t>BOS_LINT_RULE</t>
        </is>
      </c>
      <c r="J2" s="2" t="inlineStr">
        <is>
          <t>AXICRYPT_ADDRREMAP</t>
        </is>
      </c>
      <c r="K2" s="2" t="inlineStr">
        <is>
          <t>/storage/project/atlas/design/user/pnson/ATLAS_WORKING/IP/AXICRYPT/RTL/COMMON/AXICRYPT_ADDRREMAP.v</t>
        </is>
      </c>
      <c r="L2" s="2" t="inlineStr">
        <is>
          <t>20</t>
        </is>
      </c>
      <c r="M2" s="2" t="inlineStr">
        <is>
          <t>O_ADDR[i] = I_ADDR[I_SEL[i*ADDR_SEL_WIDTH +: SEL_LSB_WIDTH]];</t>
        </is>
      </c>
      <c r="N2" s="2" t="inlineStr">
        <is>
          <t>O_ADDR[0:33]</t>
        </is>
      </c>
      <c r="O2" s="2" t="inlineStr">
        <is>
          <t>17</t>
        </is>
      </c>
      <c r="P2" s="2" t="inlineStr">
        <is>
          <t>:BOS_AXICRYPT:u_axicrypt_top@AXICRYPT_TOP_DCLS:u_axicrypt_top@AXICRYPT_TOP:u_axicrypt_awaddr_remap@AXICRYPT_ADDRREMAP</t>
        </is>
      </c>
      <c r="Q2" s="2" t="inlineStr">
        <is>
          <t>O_ADDR[i] = I_ADDR[I_SEL[i*ADDR_SEL_WIDTH +: SEL_LSB_WIDTH]];
O_ADDR = {ADDR_WIDTH{1'b0}};</t>
        </is>
      </c>
      <c r="R2" s="2" t="inlineStr">
        <is>
          <t>/storage/project/atlas/design/user/pnson/ATLAS_WORKING/IP/AXICRYPT/RTL/COMMON/AXICRYPT_ADDRREMAP.v
/storage/project/atlas/design/user/pnson/ATLAS_WORKING/IP/AXICRYPT/RTL/COMMON/AXICRYPT_ADDRREMAP.v</t>
        </is>
      </c>
      <c r="S2" s="2" t="inlineStr">
        <is>
          <t>20
17</t>
        </is>
      </c>
    </row>
  </sheetData>
  <autoFilter ref="A1:S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2026-08-20T01:31:49Z</dcterms:created>
  <dcterms:modified xmlns:dcterms="http://purl.org/dc/terms/" xmlns:xsi="http://www.w3.org/2001/XMLSchema-instance" xsi:type="dcterms:W3CDTF">2026-08-20T01:31:49Z</dcterms:modified>
</cp:coreProperties>
</file>