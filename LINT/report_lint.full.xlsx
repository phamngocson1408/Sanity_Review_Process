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e Summary" sheetId="1" state="visible" r:id="rId1"/>
    <sheet xmlns:r="http://schemas.openxmlformats.org/officeDocument/2006/relationships" name="W551" sheetId="2" state="visible" r:id="rId2"/>
  </sheets>
  <definedNames>
    <definedName name="_xlnm._FilterDatabase" localSheetId="1" hidden="1">'W551'!$A$1:$N$1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report_lint.full.xlsx#W551!D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Severity</t>
        </is>
      </c>
      <c r="B1" t="inlineStr">
        <is>
          <t>Stage</t>
        </is>
      </c>
      <c r="C1" t="inlineStr">
        <is>
          <t>Tag</t>
        </is>
      </c>
      <c r="D1" t="inlineStr">
        <is>
          <t>Count</t>
        </is>
      </c>
      <c r="E1" t="inlineStr">
        <is>
          <t>Waived</t>
        </is>
      </c>
      <c r="F1" t="inlineStr">
        <is>
          <t>Compressed</t>
        </is>
      </c>
      <c r="G1" t="inlineStr">
        <is>
          <t>Confirmed</t>
        </is>
      </c>
      <c r="H1" t="inlineStr">
        <is>
          <t>Remaining</t>
        </is>
      </c>
    </row>
    <row r="2">
      <c r="A2" t="inlineStr">
        <is>
          <t>warning</t>
        </is>
      </c>
      <c r="B2" t="inlineStr">
        <is>
          <t>LINT_FORMAL_CHECK</t>
        </is>
      </c>
      <c r="C2" t="inlineStr">
        <is>
          <t>W551</t>
        </is>
      </c>
      <c r="D2" t="n">
        <v>1</v>
      </c>
      <c r="E2" t="n">
        <v>1</v>
      </c>
      <c r="F2" t="n">
        <v>0</v>
      </c>
      <c r="G2">
        <f>COUNTIF('W551'!D:D, "ok")</f>
        <v/>
      </c>
      <c r="H2">
        <f>D2+F2-G2</f>
        <v/>
      </c>
      <c r="J2" t="inlineStr">
        <is>
          <t xml:space="preserve">top_design: </t>
        </is>
      </c>
      <c r="K2" t="inlineStr">
        <is>
          <t>BOS_AESDMA</t>
        </is>
      </c>
    </row>
    <row r="3">
      <c r="A3" t="inlineStr">
        <is>
          <t>TOTAL</t>
        </is>
      </c>
      <c r="D3">
        <f>SUM(D2:D2)</f>
        <v/>
      </c>
      <c r="E3">
        <f>SUM(E2:E2)</f>
        <v/>
      </c>
      <c r="F3">
        <f>SUM(F2:F2)</f>
        <v/>
      </c>
      <c r="G3">
        <f>SUM(G2:G2)</f>
        <v/>
      </c>
      <c r="H3">
        <f>SUM(H2:H2)</f>
        <v/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4" customWidth="1" min="3" max="3"/>
    <col width="8" customWidth="1" min="4" max="4"/>
    <col width="7" customWidth="1" min="5" max="5"/>
    <col width="4" customWidth="1" min="6" max="6"/>
    <col width="53" customWidth="1" min="7" max="7"/>
    <col hidden="1" width="9" customWidth="1" min="8" max="8"/>
    <col width="13" customWidth="1" min="9" max="9"/>
    <col width="77" customWidth="1" min="10" max="10"/>
    <col width="213" customWidth="1" min="11" max="11"/>
    <col width="10" customWidth="1" min="12" max="12"/>
    <col width="19" customWidth="1" min="13" max="13"/>
    <col width="11" customWidth="1" min="14" max="14"/>
  </cols>
  <sheetData>
    <row r="1" ht="13" customHeight="1">
      <c r="A1" s="1" t="inlineStr">
        <is>
          <t>No.</t>
        </is>
      </c>
      <c r="B1" s="1" t="inlineStr">
        <is>
          <t>Person in Charge</t>
        </is>
      </c>
      <c r="C1" s="1" t="inlineStr">
        <is>
          <t>Date</t>
        </is>
      </c>
      <c r="D1" s="1" t="inlineStr">
        <is>
          <t>Judgment</t>
        </is>
      </c>
      <c r="E1" s="1" t="inlineStr">
        <is>
          <t>Comment</t>
        </is>
      </c>
      <c r="F1" s="1" t="inlineStr">
        <is>
          <t>Tag</t>
        </is>
      </c>
      <c r="G1" s="1" t="inlineStr">
        <is>
          <t>Description</t>
        </is>
      </c>
      <c r="H1" s="1" t="inlineStr">
        <is>
          <t>Violation</t>
        </is>
      </c>
      <c r="I1" s="1" t="inlineStr">
        <is>
          <t>Goal</t>
        </is>
      </c>
      <c r="J1" s="1" t="inlineStr">
        <is>
          <t>Module</t>
        </is>
      </c>
      <c r="K1" s="1" t="inlineStr">
        <is>
          <t>FileName</t>
        </is>
      </c>
      <c r="L1" s="1" t="inlineStr">
        <is>
          <t>LineNumber</t>
        </is>
      </c>
      <c r="M1" s="1" t="inlineStr">
        <is>
          <t>Statement</t>
        </is>
      </c>
      <c r="N1" s="1" t="inlineStr">
        <is>
          <t>NodeType</t>
        </is>
      </c>
    </row>
    <row r="2" ht="13" customHeight="1">
      <c r="A2" s="2" t="n">
        <v>1</v>
      </c>
      <c r="B2" s="2" t="n"/>
      <c r="C2" s="2" t="n"/>
      <c r="D2" s="2" t="n"/>
      <c r="E2" s="2" t="n"/>
      <c r="F2" s="2" t="inlineStr">
        <is>
          <t>W551</t>
        </is>
      </c>
      <c r="G2" s="2" t="inlineStr">
        <is>
          <t>Case statement marked [NodeType] has a default clause</t>
        </is>
      </c>
      <c r="H2" s="2" t="inlineStr">
        <is>
          <t>Lint:838</t>
        </is>
      </c>
      <c r="I2" s="2" t="inlineStr">
        <is>
          <t>BOS_LINT_RULE</t>
        </is>
      </c>
      <c r="J2" s="2" t="inlineStr">
        <is>
          <t>ln04lpa_a00_mc_rd2rs_hsr_lvt_320x72m2b1c1_wrapper_safety_data_decoder_st_ctrl</t>
        </is>
      </c>
      <c r="K2" s="2" t="inlineStr">
        <is>
          <t>/storage/project/atlas/design/user/pnson/ATLAS_WORKING/DK/mem/SAFETY_WRAPPER/ln04lpa_a00_mc_rd2rs_hsr_lvt_320x72m2b1c1_wrapper_safety_sf64eadi1/ln04lpa_a00_mc_rd2rs_hsr_lvt_320x72m2b1c1_wrapper_safety_sf64eadi1.sv</t>
        </is>
      </c>
      <c r="L2" s="2" t="inlineStr">
        <is>
          <t>600</t>
        </is>
      </c>
      <c r="M2" s="2" t="inlineStr">
        <is>
          <t>unique casez (r_st)</t>
        </is>
      </c>
      <c r="N2" s="2" t="inlineStr">
        <is>
          <t>unique_case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2026-09-04T02:37:18Z</dcterms:created>
  <dcterms:modified xmlns:dcterms="http://purl.org/dc/terms/" xmlns:xsi="http://www.w3.org/2001/XMLSchema-instance" xsi:type="dcterms:W3CDTF">2026-09-04T02:37:18Z</dcterms:modified>
</cp:coreProperties>
</file>